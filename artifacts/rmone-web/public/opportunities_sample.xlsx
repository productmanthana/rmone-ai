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portunities" state="visible" r:id="rId4"/>
    <sheet sheetId="2" name="Team Assignments" state="visible" r:id="rId5"/>
    <sheet sheetId="3" name="Schedule" state="visible" r:id="rId6"/>
  </sheets>
  <calcPr calcId="171027"/>
</workbook>
</file>

<file path=xl/sharedStrings.xml><?xml version="1.0" encoding="utf-8"?>
<sst xmlns="http://schemas.openxmlformats.org/spreadsheetml/2006/main" count="252" uniqueCount="159">
  <si>
    <t>Opportunity Title</t>
  </si>
  <si>
    <t>Project Category</t>
  </si>
  <si>
    <t>Company Name</t>
  </si>
  <si>
    <t>Contact Name</t>
  </si>
  <si>
    <t>ERP Job ID</t>
  </si>
  <si>
    <t>Stage</t>
  </si>
  <si>
    <t>Chance of Success (%)</t>
  </si>
  <si>
    <t>Market Sector</t>
  </si>
  <si>
    <t>Business Unit</t>
  </si>
  <si>
    <t>Division</t>
  </si>
  <si>
    <t>Department</t>
  </si>
  <si>
    <t>Bid Due Date</t>
  </si>
  <si>
    <t>Interview Date</t>
  </si>
  <si>
    <t>Proposal Phase Due</t>
  </si>
  <si>
    <t>Forecast Start</t>
  </si>
  <si>
    <t>Forecast End</t>
  </si>
  <si>
    <t>Award / Loss Date</t>
  </si>
  <si>
    <t>Approx Contract Value</t>
  </si>
  <si>
    <t>Forecasted Project Cost</t>
  </si>
  <si>
    <t>Labor Contract Amount</t>
  </si>
  <si>
    <t>Non-Operating Cost</t>
  </si>
  <si>
    <t>Gross Margin (%)</t>
  </si>
  <si>
    <t>Contract Type</t>
  </si>
  <si>
    <t>Point of Contact</t>
  </si>
  <si>
    <t>Status</t>
  </si>
  <si>
    <t>Office</t>
  </si>
  <si>
    <t>Description</t>
  </si>
  <si>
    <t>Notes</t>
  </si>
  <si>
    <t>Harbor District Mixed-Use Development</t>
  </si>
  <si>
    <t>Construction Projects (CPR)</t>
  </si>
  <si>
    <t>Harbor Realty Group</t>
  </si>
  <si>
    <t>Mike Torres</t>
  </si>
  <si>
    <t/>
  </si>
  <si>
    <t>Proposal</t>
  </si>
  <si>
    <t>Real Estate</t>
  </si>
  <si>
    <t>Buildings</t>
  </si>
  <si>
    <t>Commercial</t>
  </si>
  <si>
    <t>Development</t>
  </si>
  <si>
    <t>2025-08-15</t>
  </si>
  <si>
    <t>2025-09-01</t>
  </si>
  <si>
    <t>2025-09-20</t>
  </si>
  <si>
    <t>2026-01-01</t>
  </si>
  <si>
    <t>2027-06-30</t>
  </si>
  <si>
    <t>GMP</t>
  </si>
  <si>
    <t>James Okafor</t>
  </si>
  <si>
    <t>Active</t>
  </si>
  <si>
    <t>San Diego</t>
  </si>
  <si>
    <t>Mixed-use tower: retail podium, 200 residential units, structured parking, rooftop amenity.</t>
  </si>
  <si>
    <t>Regional Airport Concourse Expansion</t>
  </si>
  <si>
    <t>Metro Airport Authority</t>
  </si>
  <si>
    <t>Lisa Park</t>
  </si>
  <si>
    <t>Negotiation</t>
  </si>
  <si>
    <t>Aviation</t>
  </si>
  <si>
    <t>Civil &amp; Transit</t>
  </si>
  <si>
    <t>Infrastructure</t>
  </si>
  <si>
    <t>Airside</t>
  </si>
  <si>
    <t>2025-07-01</t>
  </si>
  <si>
    <t>2025-07-20</t>
  </si>
  <si>
    <t>2025-08-10</t>
  </si>
  <si>
    <t>2025-10-01</t>
  </si>
  <si>
    <t>2027-03-31</t>
  </si>
  <si>
    <t>Cost-Plus</t>
  </si>
  <si>
    <t>Priya Sharma</t>
  </si>
  <si>
    <t>San Francisco</t>
  </si>
  <si>
    <t>Expansion of Concourse D with 12 new gate hold rooms, consolidated security, and retail.</t>
  </si>
  <si>
    <t>FAA coordination required.</t>
  </si>
  <si>
    <t>University Science Complex</t>
  </si>
  <si>
    <t>Service Projects (CNS)</t>
  </si>
  <si>
    <t>State University Foundation</t>
  </si>
  <si>
    <t>Dr. Maria Lee</t>
  </si>
  <si>
    <t>Education</t>
  </si>
  <si>
    <t>Higher Ed</t>
  </si>
  <si>
    <t>2025-10-31</t>
  </si>
  <si>
    <t>2025-11-15</t>
  </si>
  <si>
    <t>2025-12-01</t>
  </si>
  <si>
    <t>2026-06-01</t>
  </si>
  <si>
    <t>2028-12-31</t>
  </si>
  <si>
    <t>Fixed</t>
  </si>
  <si>
    <t>Elena Rodriguez</t>
  </si>
  <si>
    <t>New 4-building science complex: wet labs, imaging suite, vivarium, 200-seat lecture hall.</t>
  </si>
  <si>
    <t>BSL-2 containment required.</t>
  </si>
  <si>
    <t>Riverside Data Center Campus</t>
  </si>
  <si>
    <t>CloudCore Inc.</t>
  </si>
  <si>
    <t>Alan Brent</t>
  </si>
  <si>
    <t>CPR-DC-001</t>
  </si>
  <si>
    <t>Prospecting</t>
  </si>
  <si>
    <t>Technology</t>
  </si>
  <si>
    <t>MEP</t>
  </si>
  <si>
    <t>2026-01-15</t>
  </si>
  <si>
    <t>2026-02-01</t>
  </si>
  <si>
    <t>2026-09-01</t>
  </si>
  <si>
    <t>2028-06-30</t>
  </si>
  <si>
    <t>Tom Williams</t>
  </si>
  <si>
    <t>Phoenix</t>
  </si>
  <si>
    <t>Two-phase hyperscale data center: 40 MW Phase 1 shell and core, Phase 2 shell only.</t>
  </si>
  <si>
    <t>Fast-track preferred.</t>
  </si>
  <si>
    <t>Downtown Medical Office Tower</t>
  </si>
  <si>
    <t>HealthFirst Properties</t>
  </si>
  <si>
    <t>Karen Novak</t>
  </si>
  <si>
    <t>CNS-MOB-007</t>
  </si>
  <si>
    <t>Qualifying</t>
  </si>
  <si>
    <t>Healthcare</t>
  </si>
  <si>
    <t>Healthcare Studio</t>
  </si>
  <si>
    <t>Medical</t>
  </si>
  <si>
    <t>2025-11-30</t>
  </si>
  <si>
    <t>2025-12-10</t>
  </si>
  <si>
    <t>2026-08-01</t>
  </si>
  <si>
    <t>2028-03-31</t>
  </si>
  <si>
    <t>Sarah Mitchell</t>
  </si>
  <si>
    <t>Los Angeles</t>
  </si>
  <si>
    <t>18-story medical office tower with imaging floor, ambulatory surgery center, below-grade parking.</t>
  </si>
  <si>
    <t>Team Member Name</t>
  </si>
  <si>
    <t>Email</t>
  </si>
  <si>
    <t>Start Date</t>
  </si>
  <si>
    <t>End Date</t>
  </si>
  <si>
    <t>Total Hours</t>
  </si>
  <si>
    <t>Assignment Type</t>
  </si>
  <si>
    <t>Role</t>
  </si>
  <si>
    <t>Job Title</t>
  </si>
  <si>
    <t>Billing Rate</t>
  </si>
  <si>
    <t>Allocation %</t>
  </si>
  <si>
    <t>Access Level</t>
  </si>
  <si>
    <t>james.okafor@rmone.com</t>
  </si>
  <si>
    <t>Soft</t>
  </si>
  <si>
    <t>Senior Architect</t>
  </si>
  <si>
    <t>Lead Architect</t>
  </si>
  <si>
    <t>Design</t>
  </si>
  <si>
    <t>Manager</t>
  </si>
  <si>
    <t>priya.sharma@rmone.com</t>
  </si>
  <si>
    <t>Structural Engineer</t>
  </si>
  <si>
    <t>Engineer II</t>
  </si>
  <si>
    <t>Structural</t>
  </si>
  <si>
    <t>elena.rodriguez@rmone.com</t>
  </si>
  <si>
    <t>Principal</t>
  </si>
  <si>
    <t>tom.williams@rmone.com</t>
  </si>
  <si>
    <t>Project Manager</t>
  </si>
  <si>
    <t>PM</t>
  </si>
  <si>
    <t>Admin</t>
  </si>
  <si>
    <t>sarah.mitchell@rmone.com</t>
  </si>
  <si>
    <t>Senior PM</t>
  </si>
  <si>
    <t>Phase Name</t>
  </si>
  <si>
    <t>Phase Order</t>
  </si>
  <si>
    <t>Duration (days)</t>
  </si>
  <si>
    <t>Milestone</t>
  </si>
  <si>
    <t>% Complete</t>
  </si>
  <si>
    <t>Schematic Design</t>
  </si>
  <si>
    <t>2026-06-30</t>
  </si>
  <si>
    <t>Yes</t>
  </si>
  <si>
    <t>Subject to contract award; coastal entitlement required</t>
  </si>
  <si>
    <t>Design Development</t>
  </si>
  <si>
    <t>FAA Part 77 airspace review concurrent with DD</t>
  </si>
  <si>
    <t>Pre-Design &amp; Programming</t>
  </si>
  <si>
    <t>2026-12-31</t>
  </si>
  <si>
    <t>Lab programming with department heads; BSL-2 containment required</t>
  </si>
  <si>
    <t>Site Assessment &amp; Concept</t>
  </si>
  <si>
    <t>Utility capacity study and grid interconnect assessment</t>
  </si>
  <si>
    <t>Concept Design</t>
  </si>
  <si>
    <t>2027-01-31</t>
  </si>
  <si>
    <t>Certificate of Need filing with state health dept by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</si>
</sst>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3730A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28" customWidth="1"/>
    <col min="4" max="4" width="20" customWidth="1"/>
    <col min="5" max="6" width="16" customWidth="1"/>
    <col min="7" max="8" width="20" customWidth="1"/>
    <col min="9" max="10" width="22" customWidth="1"/>
    <col min="11" max="11" width="18" customWidth="1"/>
    <col min="12" max="13" width="14" customWidth="1"/>
    <col min="14" max="14" width="18" customWidth="1"/>
    <col min="15" max="16" width="14" customWidth="1"/>
    <col min="17" max="17" width="16" customWidth="1"/>
    <col min="18" max="20" width="22" customWidth="1"/>
    <col min="21" max="21" width="20" customWidth="1"/>
    <col min="22" max="22" width="16" customWidth="1"/>
    <col min="23" max="23" width="14" customWidth="1"/>
    <col min="24" max="24" width="20" customWidth="1"/>
    <col min="25" max="25" width="12" customWidth="1"/>
    <col min="26" max="26" width="16" customWidth="1"/>
    <col min="27" max="27" width="50" customWidth="1"/>
    <col min="28" max="28" width="30" customWidth="1"/>
  </cols>
  <sheetData>
    <row r="1" ht="2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60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32</v>
      </c>
      <c r="R2" s="2">
        <v>31500000</v>
      </c>
      <c r="S2" s="2">
        <v>22000000</v>
      </c>
      <c r="T2" s="2">
        <v>9500000</v>
      </c>
      <c r="U2" s="2">
        <v>850000</v>
      </c>
      <c r="V2" s="2">
        <v>30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32</v>
      </c>
    </row>
    <row r="3" spans="1:28" x14ac:dyDescent="0.25">
      <c r="A3" s="3" t="s">
        <v>48</v>
      </c>
      <c r="B3" s="3" t="s">
        <v>29</v>
      </c>
      <c r="C3" s="3" t="s">
        <v>49</v>
      </c>
      <c r="D3" s="3" t="s">
        <v>50</v>
      </c>
      <c r="E3" s="3" t="s">
        <v>32</v>
      </c>
      <c r="F3" s="3" t="s">
        <v>51</v>
      </c>
      <c r="G3" s="3">
        <v>80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32</v>
      </c>
      <c r="R3" s="3">
        <v>67000000</v>
      </c>
      <c r="S3" s="3">
        <v>50000000</v>
      </c>
      <c r="T3" s="3">
        <v>24000000</v>
      </c>
      <c r="U3" s="3">
        <v>1750000</v>
      </c>
      <c r="V3" s="3">
        <v>25</v>
      </c>
      <c r="W3" s="3" t="s">
        <v>61</v>
      </c>
      <c r="X3" s="3" t="s">
        <v>62</v>
      </c>
      <c r="Y3" s="3" t="s">
        <v>45</v>
      </c>
      <c r="Z3" s="3" t="s">
        <v>63</v>
      </c>
      <c r="AA3" s="3" t="s">
        <v>64</v>
      </c>
      <c r="AB3" s="3" t="s">
        <v>65</v>
      </c>
    </row>
    <row r="4" spans="1:28" x14ac:dyDescent="0.25">
      <c r="A4" s="2" t="s">
        <v>66</v>
      </c>
      <c r="B4" s="2" t="s">
        <v>67</v>
      </c>
      <c r="C4" s="2" t="s">
        <v>68</v>
      </c>
      <c r="D4" s="2" t="s">
        <v>69</v>
      </c>
      <c r="E4" s="2" t="s">
        <v>32</v>
      </c>
      <c r="F4" s="2" t="s">
        <v>33</v>
      </c>
      <c r="G4" s="2">
        <v>55</v>
      </c>
      <c r="H4" s="2" t="s">
        <v>70</v>
      </c>
      <c r="I4" s="2" t="s">
        <v>35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  <c r="P4" s="2" t="s">
        <v>76</v>
      </c>
      <c r="Q4" s="2" t="s">
        <v>32</v>
      </c>
      <c r="R4" s="2">
        <v>52000000</v>
      </c>
      <c r="S4" s="2">
        <v>38000000</v>
      </c>
      <c r="T4" s="2">
        <v>15000000</v>
      </c>
      <c r="U4" s="2">
        <v>1200000</v>
      </c>
      <c r="V4" s="2">
        <v>27</v>
      </c>
      <c r="W4" s="2" t="s">
        <v>77</v>
      </c>
      <c r="X4" s="2" t="s">
        <v>78</v>
      </c>
      <c r="Y4" s="2" t="s">
        <v>45</v>
      </c>
      <c r="Z4" s="2" t="s">
        <v>63</v>
      </c>
      <c r="AA4" s="2" t="s">
        <v>79</v>
      </c>
      <c r="AB4" s="2" t="s">
        <v>80</v>
      </c>
    </row>
    <row r="5" spans="1:28" x14ac:dyDescent="0.25">
      <c r="A5" s="3" t="s">
        <v>81</v>
      </c>
      <c r="B5" s="3" t="s">
        <v>29</v>
      </c>
      <c r="C5" s="3" t="s">
        <v>82</v>
      </c>
      <c r="D5" s="3" t="s">
        <v>83</v>
      </c>
      <c r="E5" s="3" t="s">
        <v>84</v>
      </c>
      <c r="F5" s="3" t="s">
        <v>85</v>
      </c>
      <c r="G5" s="3">
        <v>35</v>
      </c>
      <c r="H5" s="3" t="s">
        <v>86</v>
      </c>
      <c r="I5" s="3" t="s">
        <v>53</v>
      </c>
      <c r="J5" s="3" t="s">
        <v>54</v>
      </c>
      <c r="K5" s="3" t="s">
        <v>87</v>
      </c>
      <c r="L5" s="3" t="s">
        <v>88</v>
      </c>
      <c r="M5" s="3" t="s">
        <v>32</v>
      </c>
      <c r="N5" s="3" t="s">
        <v>89</v>
      </c>
      <c r="O5" s="3" t="s">
        <v>90</v>
      </c>
      <c r="P5" s="3" t="s">
        <v>91</v>
      </c>
      <c r="Q5" s="3" t="s">
        <v>32</v>
      </c>
      <c r="R5" s="3">
        <v>89000000</v>
      </c>
      <c r="S5" s="3">
        <v>65000000</v>
      </c>
      <c r="T5" s="3">
        <v>28000000</v>
      </c>
      <c r="U5" s="3">
        <v>2500000</v>
      </c>
      <c r="V5" s="3">
        <v>28</v>
      </c>
      <c r="W5" s="3" t="s">
        <v>43</v>
      </c>
      <c r="X5" s="3" t="s">
        <v>92</v>
      </c>
      <c r="Y5" s="3" t="s">
        <v>45</v>
      </c>
      <c r="Z5" s="3" t="s">
        <v>93</v>
      </c>
      <c r="AA5" s="3" t="s">
        <v>94</v>
      </c>
      <c r="AB5" s="3" t="s">
        <v>95</v>
      </c>
    </row>
    <row r="6" spans="1:28" x14ac:dyDescent="0.25">
      <c r="A6" s="2" t="s">
        <v>96</v>
      </c>
      <c r="B6" s="2" t="s">
        <v>67</v>
      </c>
      <c r="C6" s="2" t="s">
        <v>97</v>
      </c>
      <c r="D6" s="2" t="s">
        <v>98</v>
      </c>
      <c r="E6" s="2" t="s">
        <v>99</v>
      </c>
      <c r="F6" s="2" t="s">
        <v>100</v>
      </c>
      <c r="G6" s="2">
        <v>45</v>
      </c>
      <c r="H6" s="2" t="s">
        <v>101</v>
      </c>
      <c r="I6" s="2" t="s">
        <v>102</v>
      </c>
      <c r="J6" s="2" t="s">
        <v>101</v>
      </c>
      <c r="K6" s="2" t="s">
        <v>103</v>
      </c>
      <c r="L6" s="2" t="s">
        <v>104</v>
      </c>
      <c r="M6" s="2" t="s">
        <v>105</v>
      </c>
      <c r="N6" s="2" t="s">
        <v>88</v>
      </c>
      <c r="O6" s="2" t="s">
        <v>106</v>
      </c>
      <c r="P6" s="2" t="s">
        <v>107</v>
      </c>
      <c r="Q6" s="2" t="s">
        <v>32</v>
      </c>
      <c r="R6" s="2">
        <v>44500000</v>
      </c>
      <c r="S6" s="2">
        <v>33000000</v>
      </c>
      <c r="T6" s="2">
        <v>13500000</v>
      </c>
      <c r="U6" s="2">
        <v>990000</v>
      </c>
      <c r="V6" s="2">
        <v>26</v>
      </c>
      <c r="W6" s="2" t="s">
        <v>77</v>
      </c>
      <c r="X6" s="2" t="s">
        <v>108</v>
      </c>
      <c r="Y6" s="2" t="s">
        <v>45</v>
      </c>
      <c r="Z6" s="2" t="s">
        <v>109</v>
      </c>
      <c r="AA6" s="2" t="s">
        <v>110</v>
      </c>
      <c r="AB6" s="2" t="s">
        <v>32</v>
      </c>
    </row>
  </sheetData>
  <dataValidations count="4">
    <dataValidation type="list" allowBlank="1" showErrorMessage="1" errorTitle="Invalid value" error="Select from list." sqref="B2:B6">
      <formula1>"Service Projects (CNS),Construction Projects (CPR)"</formula1>
    </dataValidation>
    <dataValidation type="list" allowBlank="1" showErrorMessage="1" sqref="F2:F6">
      <formula1>"Prospecting,Qualifying,Proposal,Negotiation,Awarded,Lost"</formula1>
    </dataValidation>
    <dataValidation type="list" allowBlank="1" showErrorMessage="1" sqref="W2:W6">
      <formula1>"Fixed,T&amp;M,GMP,Cost-Plus"</formula1>
    </dataValidation>
    <dataValidation type="list" allowBlank="1" showErrorMessage="1" sqref="Z2:Z6">
      <formula1>"Active,On Hold,Closed"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32" customWidth="1"/>
    <col min="4" max="6" width="14" customWidth="1"/>
    <col min="7" max="7" width="16" customWidth="1"/>
    <col min="8" max="8" width="26" customWidth="1"/>
    <col min="9" max="9" width="24" customWidth="1"/>
    <col min="10" max="11" width="22" customWidth="1"/>
    <col min="12" max="12" width="18" customWidth="1"/>
    <col min="13" max="15" width="14" customWidth="1"/>
  </cols>
  <sheetData>
    <row r="1" ht="22" customHeight="1" spans="1:15" x14ac:dyDescent="0.25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8</v>
      </c>
      <c r="K1" s="1" t="s">
        <v>9</v>
      </c>
      <c r="L1" s="1" t="s">
        <v>10</v>
      </c>
      <c r="M1" s="1" t="s">
        <v>119</v>
      </c>
      <c r="N1" s="1" t="s">
        <v>120</v>
      </c>
      <c r="O1" s="1" t="s">
        <v>121</v>
      </c>
    </row>
    <row r="2" spans="1:15" x14ac:dyDescent="0.25">
      <c r="A2" s="2" t="s">
        <v>28</v>
      </c>
      <c r="B2" s="2" t="s">
        <v>44</v>
      </c>
      <c r="C2" s="2" t="s">
        <v>122</v>
      </c>
      <c r="D2" s="2" t="s">
        <v>41</v>
      </c>
      <c r="E2" s="2" t="s">
        <v>42</v>
      </c>
      <c r="F2" s="2">
        <v>3120</v>
      </c>
      <c r="G2" s="2" t="s">
        <v>123</v>
      </c>
      <c r="H2" s="2" t="s">
        <v>124</v>
      </c>
      <c r="I2" s="2" t="s">
        <v>125</v>
      </c>
      <c r="J2" s="2" t="s">
        <v>35</v>
      </c>
      <c r="K2" s="2" t="s">
        <v>36</v>
      </c>
      <c r="L2" s="2" t="s">
        <v>126</v>
      </c>
      <c r="M2" s="2">
        <v>185</v>
      </c>
      <c r="N2" s="2">
        <v>35</v>
      </c>
      <c r="O2" s="2" t="s">
        <v>127</v>
      </c>
    </row>
    <row r="3" spans="1:15" x14ac:dyDescent="0.25">
      <c r="A3" s="3" t="s">
        <v>48</v>
      </c>
      <c r="B3" s="3" t="s">
        <v>62</v>
      </c>
      <c r="C3" s="3" t="s">
        <v>128</v>
      </c>
      <c r="D3" s="3" t="s">
        <v>59</v>
      </c>
      <c r="E3" s="3" t="s">
        <v>60</v>
      </c>
      <c r="F3" s="3">
        <v>3900</v>
      </c>
      <c r="G3" s="3" t="s">
        <v>123</v>
      </c>
      <c r="H3" s="3" t="s">
        <v>129</v>
      </c>
      <c r="I3" s="3" t="s">
        <v>130</v>
      </c>
      <c r="J3" s="3" t="s">
        <v>53</v>
      </c>
      <c r="K3" s="3" t="s">
        <v>54</v>
      </c>
      <c r="L3" s="3" t="s">
        <v>131</v>
      </c>
      <c r="M3" s="3">
        <v>155</v>
      </c>
      <c r="N3" s="3">
        <v>50</v>
      </c>
      <c r="O3" s="3" t="s">
        <v>127</v>
      </c>
    </row>
    <row r="4" spans="1:15" x14ac:dyDescent="0.25">
      <c r="A4" s="2" t="s">
        <v>66</v>
      </c>
      <c r="B4" s="2" t="s">
        <v>78</v>
      </c>
      <c r="C4" s="2" t="s">
        <v>132</v>
      </c>
      <c r="D4" s="2" t="s">
        <v>75</v>
      </c>
      <c r="E4" s="2" t="s">
        <v>76</v>
      </c>
      <c r="F4" s="2">
        <v>4400</v>
      </c>
      <c r="G4" s="2" t="s">
        <v>123</v>
      </c>
      <c r="H4" s="2" t="s">
        <v>133</v>
      </c>
      <c r="I4" s="2" t="s">
        <v>133</v>
      </c>
      <c r="J4" s="2" t="s">
        <v>35</v>
      </c>
      <c r="K4" s="2" t="s">
        <v>70</v>
      </c>
      <c r="L4" s="2" t="s">
        <v>126</v>
      </c>
      <c r="M4" s="2">
        <v>225</v>
      </c>
      <c r="N4" s="2">
        <v>40</v>
      </c>
      <c r="O4" s="2" t="s">
        <v>127</v>
      </c>
    </row>
    <row r="5" spans="1:15" x14ac:dyDescent="0.25">
      <c r="A5" s="3" t="s">
        <v>81</v>
      </c>
      <c r="B5" s="3" t="s">
        <v>92</v>
      </c>
      <c r="C5" s="3" t="s">
        <v>134</v>
      </c>
      <c r="D5" s="3" t="s">
        <v>90</v>
      </c>
      <c r="E5" s="3" t="s">
        <v>91</v>
      </c>
      <c r="F5" s="3">
        <v>2800</v>
      </c>
      <c r="G5" s="3" t="s">
        <v>123</v>
      </c>
      <c r="H5" s="3" t="s">
        <v>135</v>
      </c>
      <c r="I5" s="3" t="s">
        <v>136</v>
      </c>
      <c r="J5" s="3" t="s">
        <v>53</v>
      </c>
      <c r="K5" s="3" t="s">
        <v>54</v>
      </c>
      <c r="L5" s="3" t="s">
        <v>87</v>
      </c>
      <c r="M5" s="3">
        <v>200</v>
      </c>
      <c r="N5" s="3">
        <v>60</v>
      </c>
      <c r="O5" s="3" t="s">
        <v>137</v>
      </c>
    </row>
    <row r="6" spans="1:15" x14ac:dyDescent="0.25">
      <c r="A6" s="2" t="s">
        <v>96</v>
      </c>
      <c r="B6" s="2" t="s">
        <v>108</v>
      </c>
      <c r="C6" s="2" t="s">
        <v>138</v>
      </c>
      <c r="D6" s="2" t="s">
        <v>106</v>
      </c>
      <c r="E6" s="2" t="s">
        <v>107</v>
      </c>
      <c r="F6" s="2">
        <v>3200</v>
      </c>
      <c r="G6" s="2" t="s">
        <v>123</v>
      </c>
      <c r="H6" s="2" t="s">
        <v>135</v>
      </c>
      <c r="I6" s="2" t="s">
        <v>139</v>
      </c>
      <c r="J6" s="2" t="s">
        <v>102</v>
      </c>
      <c r="K6" s="2" t="s">
        <v>101</v>
      </c>
      <c r="L6" s="2" t="s">
        <v>103</v>
      </c>
      <c r="M6" s="2">
        <v>200</v>
      </c>
      <c r="N6" s="2">
        <v>45</v>
      </c>
      <c r="O6" s="2" t="s">
        <v>137</v>
      </c>
    </row>
  </sheetData>
  <dataValidations count="2">
    <dataValidation type="list" allowBlank="1" showErrorMessage="1" sqref="G2:G6">
      <formula1>"Hard,Soft"</formula1>
    </dataValidation>
    <dataValidation type="list" allowBlank="1" showErrorMessage="1" sqref="O2:O6">
      <formula1>"Admin,Manager,User"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5" width="14" customWidth="1"/>
    <col min="6" max="6" width="16" customWidth="1"/>
    <col min="7" max="7" width="12" customWidth="1"/>
    <col min="8" max="8" width="14" customWidth="1"/>
    <col min="9" max="9" width="50" customWidth="1"/>
  </cols>
  <sheetData>
    <row r="1" ht="22" customHeight="1" spans="1:9" x14ac:dyDescent="0.25">
      <c r="A1" s="1" t="s">
        <v>0</v>
      </c>
      <c r="B1" s="1" t="s">
        <v>140</v>
      </c>
      <c r="C1" s="1" t="s">
        <v>141</v>
      </c>
      <c r="D1" s="1" t="s">
        <v>113</v>
      </c>
      <c r="E1" s="1" t="s">
        <v>114</v>
      </c>
      <c r="F1" s="1" t="s">
        <v>142</v>
      </c>
      <c r="G1" s="1" t="s">
        <v>143</v>
      </c>
      <c r="H1" s="1" t="s">
        <v>144</v>
      </c>
      <c r="I1" s="1" t="s">
        <v>27</v>
      </c>
    </row>
    <row r="2" spans="1:9" x14ac:dyDescent="0.25">
      <c r="A2" s="2" t="s">
        <v>28</v>
      </c>
      <c r="B2" s="2" t="s">
        <v>145</v>
      </c>
      <c r="C2" s="2">
        <v>1</v>
      </c>
      <c r="D2" s="2" t="s">
        <v>41</v>
      </c>
      <c r="E2" s="2" t="s">
        <v>146</v>
      </c>
      <c r="F2" s="2">
        <v>180</v>
      </c>
      <c r="G2" s="2" t="s">
        <v>147</v>
      </c>
      <c r="H2" s="2">
        <v>0</v>
      </c>
      <c r="I2" s="2" t="s">
        <v>148</v>
      </c>
    </row>
    <row r="3" spans="1:9" x14ac:dyDescent="0.25">
      <c r="A3" s="3" t="s">
        <v>48</v>
      </c>
      <c r="B3" s="3" t="s">
        <v>149</v>
      </c>
      <c r="C3" s="3">
        <v>1</v>
      </c>
      <c r="D3" s="3" t="s">
        <v>59</v>
      </c>
      <c r="E3" s="3" t="s">
        <v>146</v>
      </c>
      <c r="F3" s="3">
        <v>273</v>
      </c>
      <c r="G3" s="3" t="s">
        <v>147</v>
      </c>
      <c r="H3" s="3">
        <v>0</v>
      </c>
      <c r="I3" s="3" t="s">
        <v>150</v>
      </c>
    </row>
    <row r="4" spans="1:9" x14ac:dyDescent="0.25">
      <c r="A4" s="2" t="s">
        <v>66</v>
      </c>
      <c r="B4" s="2" t="s">
        <v>151</v>
      </c>
      <c r="C4" s="2">
        <v>1</v>
      </c>
      <c r="D4" s="2" t="s">
        <v>75</v>
      </c>
      <c r="E4" s="2" t="s">
        <v>152</v>
      </c>
      <c r="F4" s="2">
        <v>213</v>
      </c>
      <c r="G4" s="2" t="s">
        <v>147</v>
      </c>
      <c r="H4" s="2">
        <v>0</v>
      </c>
      <c r="I4" s="2" t="s">
        <v>153</v>
      </c>
    </row>
    <row r="5" spans="1:9" x14ac:dyDescent="0.25">
      <c r="A5" s="3" t="s">
        <v>81</v>
      </c>
      <c r="B5" s="3" t="s">
        <v>154</v>
      </c>
      <c r="C5" s="3">
        <v>1</v>
      </c>
      <c r="D5" s="3" t="s">
        <v>90</v>
      </c>
      <c r="E5" s="3" t="s">
        <v>60</v>
      </c>
      <c r="F5" s="3">
        <v>212</v>
      </c>
      <c r="G5" s="3" t="s">
        <v>147</v>
      </c>
      <c r="H5" s="3">
        <v>0</v>
      </c>
      <c r="I5" s="3" t="s">
        <v>155</v>
      </c>
    </row>
    <row r="6" spans="1:9" x14ac:dyDescent="0.25">
      <c r="A6" s="2" t="s">
        <v>96</v>
      </c>
      <c r="B6" s="2" t="s">
        <v>156</v>
      </c>
      <c r="C6" s="2">
        <v>1</v>
      </c>
      <c r="D6" s="2" t="s">
        <v>106</v>
      </c>
      <c r="E6" s="2" t="s">
        <v>157</v>
      </c>
      <c r="F6" s="2">
        <v>183</v>
      </c>
      <c r="G6" s="2" t="s">
        <v>147</v>
      </c>
      <c r="H6" s="2">
        <v>0</v>
      </c>
      <c r="I6" s="2" t="s">
        <v>158</v>
      </c>
    </row>
  </sheetData>
  <dataValidations count="1">
    <dataValidation type="list" allowBlank="1" showErrorMessage="1" sqref="G2:G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Opportunities</vt:lpstr>
      <vt:lpstr>Team Assignments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ONE</dc:creator>
  <dc:title/>
  <dc:subject/>
  <dc:description/>
  <cp:keywords/>
  <cp:category/>
  <cp:lastModifiedBy>Unknown</cp:lastModifiedBy>
  <dcterms:created xsi:type="dcterms:W3CDTF">2026-07-14T03:59:56Z</dcterms:created>
  <dcterms:modified xsi:type="dcterms:W3CDTF">2026-07-14T03:59:56Z</dcterms:modified>
</cp:coreProperties>
</file>